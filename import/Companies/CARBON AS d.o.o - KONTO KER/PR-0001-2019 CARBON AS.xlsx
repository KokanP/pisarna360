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1\Documents\Lapuh.Media\Lapuh Consulting\pisarna360\Companies\CARBON AS d.o.o - KONTO KER\"/>
    </mc:Choice>
  </mc:AlternateContent>
  <xr:revisionPtr revIDLastSave="0" documentId="13_ncr:1_{31277C04-E36F-4F91-BD6B-41D0EDB1EE32}" xr6:coauthVersionLast="43" xr6:coauthVersionMax="43" xr10:uidLastSave="{00000000-0000-0000-0000-000000000000}"/>
  <bookViews>
    <workbookView xWindow="13290" yWindow="3720" windowWidth="22720" windowHeight="14930" xr2:uid="{00000000-000D-0000-FFFF-FFFF00000000}"/>
  </bookViews>
  <sheets>
    <sheet name="List1" sheetId="1" r:id="rId1"/>
    <sheet name="List2" sheetId="2" r:id="rId2"/>
    <sheet name="List3" sheetId="3" r:id="rId3"/>
  </sheets>
  <definedNames>
    <definedName name="_xlnm.Print_Area" localSheetId="0">List1!$A$1:$F$46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2" i="1" l="1"/>
  <c r="F25" i="1"/>
  <c r="F24" i="1"/>
  <c r="F13" i="1" l="1"/>
  <c r="F14" i="1" s="1"/>
</calcChain>
</file>

<file path=xl/sharedStrings.xml><?xml version="1.0" encoding="utf-8"?>
<sst xmlns="http://schemas.openxmlformats.org/spreadsheetml/2006/main" count="27" uniqueCount="26">
  <si>
    <t>Amount</t>
  </si>
  <si>
    <t>Service</t>
  </si>
  <si>
    <t>We charge:</t>
  </si>
  <si>
    <t>Total</t>
  </si>
  <si>
    <t>Lapuh Consulting LTD</t>
  </si>
  <si>
    <t>SWIFT: BAKOSI2X</t>
  </si>
  <si>
    <t>Slovenia</t>
  </si>
  <si>
    <t>Price (EUR)</t>
  </si>
  <si>
    <t>Vojkova cesta 11, 1000 Ljubljana</t>
  </si>
  <si>
    <t>Plačilo letne najemnine za souporabo (Vojkova cesta 11)</t>
  </si>
  <si>
    <t>DDV 22%</t>
  </si>
  <si>
    <t>Številka predračuna</t>
  </si>
  <si>
    <t>PR-0001-2019</t>
  </si>
  <si>
    <t>Izdano:</t>
  </si>
  <si>
    <t>Veljavnost:</t>
  </si>
  <si>
    <t>Davčna številka: SI 17330777</t>
  </si>
  <si>
    <t>Matična številka: 8055246000</t>
  </si>
  <si>
    <t>Plačilo izvedite na: IBAN: SI56 10100-0056281723</t>
  </si>
  <si>
    <t>Banka: Banka Intesa Sanpaolo d.d., Pristaniška ulica 14, 6502 Koper</t>
  </si>
  <si>
    <t>Referenca:</t>
  </si>
  <si>
    <t>Fakturirano za:</t>
  </si>
  <si>
    <t>Lapuh Consulting d.o.o.</t>
  </si>
  <si>
    <t>KONTO KER, računovodstvo, d.o.o.</t>
  </si>
  <si>
    <t>1210 Ljubljana - Šentvid</t>
  </si>
  <si>
    <t>Ljubljana, Prušnikova ulica 12</t>
  </si>
  <si>
    <t>Davčna številka: SI 85191833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</si>
</sst>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S_I_T_-;\-* #,##0.00\ _S_I_T_-;_-* &quot;-&quot;??\ _S_I_T_-;_-@_-"/>
    <numFmt numFmtId="165" formatCode="#,##0.00\ [$€-1]"/>
    <numFmt numFmtId="166" formatCode="_-* #,##0.00000\ _S_I_T_-;\-* #,##0.00000\ _S_I_T_-;_-* &quot;-&quot;??\ _S_I_T_-;_-@_-"/>
    <numFmt numFmtId="167" formatCode="_-* #,##0.00000\ _S_I_T_-;\-* #,##0.00000\ _S_I_T_-;_-* &quot;-&quot;?????\ _S_I_T_-;_-@_-"/>
    <numFmt numFmtId="168" formatCode="#,##0.0000000"/>
  </numFmts>
  <fonts count="20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Verdana"/>
      <family val="2"/>
    </font>
    <font>
      <sz val="8"/>
      <name val="Arial CE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0"/>
      <name val="Arial"/>
      <family val="2"/>
    </font>
    <font>
      <sz val="11"/>
      <color indexed="63"/>
      <name val="Calibri"/>
      <family val="2"/>
      <charset val="238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</font>
    <font>
      <sz val="10"/>
      <name val="Calibri"/>
      <family val="2"/>
      <charset val="238"/>
      <scheme val="minor"/>
    </font>
    <font>
      <i/>
      <sz val="10"/>
      <name val="Calibri"/>
      <family val="2"/>
      <charset val="238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sz val="10"/>
      <name val="Calibri"/>
      <family val="2"/>
      <charset val="238"/>
      <scheme val="minor"/>
    </font>
    <font>
      <b/>
      <i/>
      <sz val="10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9" fillId="0" borderId="0" xfId="0" applyFont="1"/>
    <xf numFmtId="0" fontId="9" fillId="0" borderId="0" xfId="1" applyFont="1"/>
    <xf numFmtId="164" fontId="9" fillId="0" borderId="0" xfId="0" applyNumberFormat="1" applyFont="1"/>
    <xf numFmtId="166" fontId="9" fillId="0" borderId="0" xfId="0" applyNumberFormat="1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9" fillId="0" borderId="0" xfId="1" applyFont="1" applyAlignment="1">
      <alignment horizontal="right"/>
    </xf>
    <xf numFmtId="0" fontId="9" fillId="0" borderId="0" xfId="4" applyFont="1"/>
    <xf numFmtId="0" fontId="9" fillId="0" borderId="0" xfId="4" applyFont="1" applyAlignment="1">
      <alignment horizontal="right"/>
    </xf>
    <xf numFmtId="0" fontId="10" fillId="0" borderId="0" xfId="4" applyFont="1" applyAlignment="1">
      <alignment horizontal="right"/>
    </xf>
    <xf numFmtId="44" fontId="9" fillId="0" borderId="0" xfId="6" applyFont="1"/>
    <xf numFmtId="14" fontId="9" fillId="0" borderId="0" xfId="4" applyNumberFormat="1" applyFont="1" applyAlignment="1">
      <alignment horizontal="right"/>
    </xf>
    <xf numFmtId="167" fontId="9" fillId="0" borderId="0" xfId="0" applyNumberFormat="1" applyFont="1"/>
    <xf numFmtId="4" fontId="9" fillId="0" borderId="0" xfId="0" applyNumberFormat="1" applyFont="1"/>
    <xf numFmtId="0" fontId="10" fillId="0" borderId="0" xfId="4" applyFont="1"/>
    <xf numFmtId="0" fontId="14" fillId="0" borderId="0" xfId="0" applyFont="1" applyProtection="1">
      <protection locked="0"/>
    </xf>
    <xf numFmtId="165" fontId="14" fillId="0" borderId="0" xfId="0" applyNumberFormat="1" applyFont="1" applyProtection="1">
      <protection locked="0"/>
    </xf>
    <xf numFmtId="165" fontId="15" fillId="0" borderId="0" xfId="0" applyNumberFormat="1" applyFont="1" applyProtection="1">
      <protection locked="0"/>
    </xf>
    <xf numFmtId="0" fontId="12" fillId="0" borderId="0" xfId="0" applyFont="1"/>
    <xf numFmtId="165" fontId="10" fillId="0" borderId="0" xfId="4" applyNumberFormat="1" applyFont="1"/>
    <xf numFmtId="168" fontId="9" fillId="0" borderId="0" xfId="0" applyNumberFormat="1" applyFont="1"/>
    <xf numFmtId="0" fontId="18" fillId="0" borderId="0" xfId="4" applyFont="1"/>
    <xf numFmtId="0" fontId="9" fillId="0" borderId="0" xfId="1" applyFont="1" applyAlignment="1">
      <alignment horizontal="left" wrapText="1"/>
    </xf>
    <xf numFmtId="0" fontId="19" fillId="0" borderId="1" xfId="0" applyFont="1" applyBorder="1" applyAlignment="1">
      <alignment horizontal="left" vertical="center" wrapText="1"/>
    </xf>
    <xf numFmtId="3" fontId="12" fillId="0" borderId="1" xfId="5" applyNumberFormat="1" applyFont="1" applyBorder="1" applyAlignment="1">
      <alignment horizontal="center"/>
    </xf>
    <xf numFmtId="44" fontId="12" fillId="0" borderId="1" xfId="0" applyNumberFormat="1" applyFont="1" applyBorder="1" applyAlignment="1" applyProtection="1">
      <alignment horizontal="center"/>
      <protection locked="0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center"/>
    </xf>
    <xf numFmtId="0" fontId="17" fillId="0" borderId="1" xfId="4" applyFont="1" applyBorder="1" applyAlignment="1">
      <alignment horizontal="left"/>
    </xf>
    <xf numFmtId="44" fontId="17" fillId="0" borderId="1" xfId="4" applyNumberFormat="1" applyFont="1" applyBorder="1"/>
    <xf numFmtId="0" fontId="9" fillId="0" borderId="0" xfId="4" applyFont="1" applyAlignment="1">
      <alignment horizontal="left"/>
    </xf>
    <xf numFmtId="0" fontId="9" fillId="0" borderId="0" xfId="0" applyFont="1" applyAlignment="1">
      <alignment horizontal="right"/>
    </xf>
  </cellXfs>
  <cellStyles count="10">
    <cellStyle name="=C:\WINNT\SYSTEM32\COMMAND.COM" xfId="1" xr:uid="{00000000-0005-0000-0000-000000000000}"/>
    <cellStyle name="Currency" xfId="6" builtinId="4"/>
    <cellStyle name="Navadno 2" xfId="2" xr:uid="{00000000-0005-0000-0000-000002000000}"/>
    <cellStyle name="Normal" xfId="0" builtinId="0"/>
    <cellStyle name="Normal 12" xfId="3" xr:uid="{00000000-0005-0000-0000-000004000000}"/>
    <cellStyle name="Normal 4 2 6" xfId="8" xr:uid="{00000000-0005-0000-0000-000005000000}"/>
    <cellStyle name="Normal 4 4 2 5" xfId="7" xr:uid="{00000000-0005-0000-0000-000006000000}"/>
    <cellStyle name="Normal 4 9 2 5 4" xfId="9" xr:uid="{00000000-0005-0000-0000-000007000000}"/>
    <cellStyle name="Normal_Sheet1" xfId="4" xr:uid="{00000000-0005-0000-0000-000008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821768</xdr:colOff>
      <xdr:row>1</xdr:row>
      <xdr:rowOff>67235</xdr:rowOff>
    </xdr:from>
    <xdr:to>
      <xdr:col>3</xdr:col>
      <xdr:colOff>963709</xdr:colOff>
      <xdr:row>9</xdr:row>
      <xdr:rowOff>37353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208EAF-C741-4B1D-856D-F37E0DDC3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8488"/>
        <a:stretch/>
      </xdr:blipFill>
      <xdr:spPr>
        <a:xfrm>
          <a:off x="4161121" y="231588"/>
          <a:ext cx="1172882" cy="1284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showGridLines="0" tabSelected="1" zoomScale="85" zoomScaleNormal="85" workbookViewId="0">
      <selection activeCell="H14" sqref="H14"/>
    </sheetView>
  </sheetViews>
  <sheetFormatPr defaultColWidth="9.1796875" defaultRowHeight="13" x14ac:dyDescent="0.3"/>
  <cols>
    <col min="1" max="1" width="31" style="1" customWidth="1"/>
    <col min="2" max="2" width="16.81640625" style="1" customWidth="1"/>
    <col min="3" max="3" width="14.7265625" style="1" customWidth="1"/>
    <col min="4" max="4" width="14.7265625" style="1" bestFit="1" customWidth="1"/>
    <col min="5" max="5" width="10.26953125" style="1" customWidth="1"/>
    <col min="6" max="6" width="16.7265625" style="1" bestFit="1" customWidth="1"/>
    <col min="7" max="7" width="14.54296875" style="1" bestFit="1" customWidth="1"/>
    <col min="8" max="8" width="26.7265625" style="1" bestFit="1" customWidth="1"/>
    <col min="9" max="9" width="14.81640625" style="1" bestFit="1" customWidth="1"/>
    <col min="10" max="10" width="14.81640625" style="16" bestFit="1" customWidth="1"/>
    <col min="11" max="11" width="16.81640625" style="16" bestFit="1" customWidth="1"/>
    <col min="12" max="12" width="10.54296875" style="1" bestFit="1" customWidth="1"/>
    <col min="13" max="16384" width="9.1796875" style="1"/>
  </cols>
  <sheetData>
    <row r="1" spans="1:9" x14ac:dyDescent="0.3">
      <c r="C1" s="2"/>
      <c r="D1" s="2"/>
      <c r="E1" s="2"/>
      <c r="F1" s="2"/>
    </row>
    <row r="2" spans="1:9" x14ac:dyDescent="0.3">
      <c r="C2" s="2"/>
      <c r="D2" s="2"/>
      <c r="E2" s="2"/>
      <c r="G2" s="3"/>
      <c r="I2" s="4"/>
    </row>
    <row r="3" spans="1:9" x14ac:dyDescent="0.3">
      <c r="C3" s="2"/>
      <c r="D3" s="2"/>
      <c r="E3" s="2"/>
      <c r="G3" s="3"/>
      <c r="I3" s="4"/>
    </row>
    <row r="4" spans="1:9" x14ac:dyDescent="0.3">
      <c r="A4" s="5" t="s">
        <v>22</v>
      </c>
      <c r="C4" s="2"/>
      <c r="D4" s="2"/>
      <c r="E4" s="2"/>
      <c r="F4" s="6" t="s">
        <v>4</v>
      </c>
      <c r="G4" s="3"/>
      <c r="I4" s="4"/>
    </row>
    <row r="5" spans="1:9" x14ac:dyDescent="0.3">
      <c r="A5" s="7" t="s">
        <v>24</v>
      </c>
      <c r="C5" s="2"/>
      <c r="D5" s="2"/>
      <c r="E5" s="2"/>
      <c r="F5" s="8" t="s">
        <v>8</v>
      </c>
      <c r="G5" s="3"/>
    </row>
    <row r="6" spans="1:9" x14ac:dyDescent="0.3">
      <c r="A6" s="1" t="s">
        <v>23</v>
      </c>
      <c r="C6" s="2"/>
      <c r="D6" s="2"/>
      <c r="E6" s="2"/>
      <c r="F6" s="8" t="s">
        <v>6</v>
      </c>
    </row>
    <row r="7" spans="1:9" x14ac:dyDescent="0.3">
      <c r="A7" s="1" t="s">
        <v>6</v>
      </c>
      <c r="C7" s="2"/>
      <c r="D7" s="2"/>
      <c r="E7" s="2"/>
      <c r="F7" s="9" t="s">
        <v>15</v>
      </c>
    </row>
    <row r="8" spans="1:9" x14ac:dyDescent="0.3">
      <c r="A8" s="1" t="s">
        <v>25</v>
      </c>
      <c r="C8" s="2"/>
      <c r="D8" s="2"/>
      <c r="E8" s="2"/>
      <c r="F8" s="9" t="s">
        <v>16</v>
      </c>
    </row>
    <row r="11" spans="1:9" x14ac:dyDescent="0.3">
      <c r="G11" s="3"/>
      <c r="I11" s="4"/>
    </row>
    <row r="12" spans="1:9" x14ac:dyDescent="0.3">
      <c r="B12" s="10"/>
      <c r="D12" s="11" t="s">
        <v>11</v>
      </c>
      <c r="E12" s="11"/>
      <c r="F12" s="12" t="s">
        <v>12</v>
      </c>
      <c r="G12" s="3"/>
      <c r="I12" s="13"/>
    </row>
    <row r="13" spans="1:9" x14ac:dyDescent="0.3">
      <c r="B13" s="10"/>
      <c r="D13" s="11" t="s">
        <v>13</v>
      </c>
      <c r="E13" s="11"/>
      <c r="F13" s="14">
        <f ca="1">+TODAY()</f>
        <v>43563</v>
      </c>
      <c r="G13" s="14"/>
      <c r="I13" s="15"/>
    </row>
    <row r="14" spans="1:9" x14ac:dyDescent="0.3">
      <c r="B14" s="10"/>
      <c r="D14" s="11" t="s">
        <v>14</v>
      </c>
      <c r="E14" s="11"/>
      <c r="F14" s="14">
        <f ca="1">+F13+14</f>
        <v>43577</v>
      </c>
      <c r="G14" s="3"/>
      <c r="I14" s="4"/>
    </row>
    <row r="15" spans="1:9" x14ac:dyDescent="0.3">
      <c r="B15" s="10"/>
      <c r="D15" s="11"/>
      <c r="E15" s="11"/>
      <c r="F15" s="14"/>
      <c r="G15" s="3"/>
      <c r="I15" s="4"/>
    </row>
    <row r="16" spans="1:9" x14ac:dyDescent="0.3">
      <c r="A16" s="10"/>
      <c r="B16" s="10"/>
      <c r="C16" s="10"/>
      <c r="D16" s="10"/>
      <c r="E16" s="10"/>
      <c r="F16" s="10"/>
      <c r="G16" s="3"/>
      <c r="I16" s="4"/>
    </row>
    <row r="17" spans="1:11" x14ac:dyDescent="0.3">
      <c r="A17" s="10"/>
      <c r="B17" s="10"/>
      <c r="C17" s="10"/>
      <c r="D17" s="10"/>
      <c r="E17" s="10"/>
      <c r="F17" s="10"/>
      <c r="G17" s="3"/>
      <c r="I17" s="4"/>
    </row>
    <row r="18" spans="1:11" x14ac:dyDescent="0.3">
      <c r="A18" s="17"/>
      <c r="B18" s="10"/>
      <c r="C18" s="10"/>
      <c r="D18" s="10"/>
      <c r="E18" s="10"/>
      <c r="F18" s="10"/>
      <c r="G18" s="3"/>
    </row>
    <row r="19" spans="1:11" ht="6" customHeight="1" x14ac:dyDescent="0.3">
      <c r="A19" s="10"/>
      <c r="B19" s="10"/>
      <c r="C19" s="10"/>
      <c r="D19" s="10"/>
      <c r="E19" s="10"/>
      <c r="F19" s="10"/>
    </row>
    <row r="20" spans="1:11" ht="27" customHeight="1" x14ac:dyDescent="0.35">
      <c r="A20" s="25"/>
      <c r="B20" s="25"/>
      <c r="C20" s="25"/>
      <c r="D20" s="25"/>
      <c r="E20" s="25"/>
      <c r="F20" s="25"/>
      <c r="H20" s="18"/>
      <c r="I20" s="19"/>
    </row>
    <row r="21" spans="1:11" ht="14.5" x14ac:dyDescent="0.35">
      <c r="A21" s="1" t="s">
        <v>2</v>
      </c>
      <c r="H21" s="18"/>
      <c r="I21" s="20"/>
    </row>
    <row r="22" spans="1:11" x14ac:dyDescent="0.3">
      <c r="A22" s="29" t="s">
        <v>1</v>
      </c>
      <c r="B22" s="29"/>
      <c r="C22" s="29"/>
      <c r="D22" s="29"/>
      <c r="E22" s="30" t="s">
        <v>0</v>
      </c>
      <c r="F22" s="30" t="s">
        <v>7</v>
      </c>
      <c r="G22" s="21"/>
      <c r="J22" s="1"/>
      <c r="K22" s="1"/>
    </row>
    <row r="23" spans="1:11" ht="13.5" customHeight="1" x14ac:dyDescent="0.3">
      <c r="A23" s="26" t="s">
        <v>9</v>
      </c>
      <c r="B23" s="26"/>
      <c r="C23" s="26"/>
      <c r="D23" s="26"/>
      <c r="E23" s="27">
        <v>1</v>
      </c>
      <c r="F23" s="28">
        <v>330</v>
      </c>
      <c r="G23" s="21"/>
      <c r="J23" s="1"/>
      <c r="K23" s="1"/>
    </row>
    <row r="24" spans="1:11" x14ac:dyDescent="0.3">
      <c r="A24" s="26" t="s">
        <v>10</v>
      </c>
      <c r="B24" s="26"/>
      <c r="C24" s="26"/>
      <c r="D24" s="26"/>
      <c r="E24" s="27">
        <v>1</v>
      </c>
      <c r="F24" s="28">
        <f>+F23*0.22</f>
        <v>72.599999999999994</v>
      </c>
      <c r="G24" s="21"/>
      <c r="J24" s="1"/>
      <c r="K24" s="1"/>
    </row>
    <row r="25" spans="1:11" x14ac:dyDescent="0.3">
      <c r="A25" s="31" t="s">
        <v>3</v>
      </c>
      <c r="B25" s="31"/>
      <c r="C25" s="31"/>
      <c r="D25" s="31"/>
      <c r="E25" s="31"/>
      <c r="F25" s="32">
        <f>SUM(F23:F24)</f>
        <v>402.6</v>
      </c>
      <c r="G25" s="21"/>
    </row>
    <row r="26" spans="1:11" x14ac:dyDescent="0.3">
      <c r="A26" s="17"/>
      <c r="B26" s="17"/>
      <c r="C26" s="17"/>
      <c r="D26" s="17"/>
      <c r="E26" s="17"/>
      <c r="F26" s="22"/>
      <c r="J26" s="23"/>
    </row>
    <row r="27" spans="1:11" x14ac:dyDescent="0.3">
      <c r="A27" s="10"/>
      <c r="B27" s="17"/>
      <c r="C27" s="17"/>
      <c r="D27" s="17"/>
      <c r="E27" s="17"/>
      <c r="F27" s="22"/>
      <c r="J27" s="23"/>
    </row>
    <row r="28" spans="1:11" x14ac:dyDescent="0.3">
      <c r="A28" s="17"/>
      <c r="B28" s="17"/>
      <c r="C28" s="17"/>
      <c r="D28" s="17"/>
      <c r="E28" s="17"/>
      <c r="F28" s="22"/>
      <c r="J28" s="23"/>
    </row>
    <row r="29" spans="1:11" x14ac:dyDescent="0.3">
      <c r="A29" s="33" t="s">
        <v>17</v>
      </c>
      <c r="B29" s="33"/>
      <c r="C29" s="33"/>
      <c r="D29" s="33"/>
      <c r="E29" s="10"/>
      <c r="F29" s="10"/>
    </row>
    <row r="30" spans="1:11" x14ac:dyDescent="0.3">
      <c r="A30" s="10" t="s">
        <v>5</v>
      </c>
      <c r="B30" s="10"/>
      <c r="C30" s="10"/>
      <c r="D30" s="10"/>
      <c r="E30" s="10"/>
      <c r="F30" s="10"/>
    </row>
    <row r="31" spans="1:11" x14ac:dyDescent="0.3">
      <c r="A31" s="10" t="s">
        <v>18</v>
      </c>
      <c r="B31" s="10"/>
      <c r="C31" s="10"/>
      <c r="D31" s="10"/>
      <c r="E31" s="10"/>
      <c r="F31" s="10"/>
    </row>
    <row r="32" spans="1:11" x14ac:dyDescent="0.3">
      <c r="A32" s="10" t="s">
        <v>19</v>
      </c>
      <c r="B32" s="10" t="str">
        <f>F12</f>
        <v>PR-0001-2019</v>
      </c>
      <c r="C32" s="11"/>
      <c r="E32" s="10"/>
      <c r="F32" s="10"/>
    </row>
    <row r="33" spans="1:6" x14ac:dyDescent="0.3">
      <c r="A33" s="10"/>
      <c r="B33" s="10"/>
      <c r="C33" s="11"/>
      <c r="E33" s="10"/>
      <c r="F33" s="10"/>
    </row>
    <row r="34" spans="1:6" x14ac:dyDescent="0.3">
      <c r="B34" s="10"/>
      <c r="C34" s="10"/>
      <c r="D34" s="10"/>
      <c r="E34" s="10"/>
      <c r="F34" s="10"/>
    </row>
    <row r="35" spans="1:6" x14ac:dyDescent="0.3">
      <c r="B35" s="10"/>
      <c r="C35" s="10"/>
      <c r="D35" s="10"/>
      <c r="E35" s="10"/>
      <c r="F35" s="10"/>
    </row>
    <row r="36" spans="1:6" s="10" customFormat="1" x14ac:dyDescent="0.3">
      <c r="A36" s="24"/>
    </row>
    <row r="37" spans="1:6" x14ac:dyDescent="0.3">
      <c r="A37" s="10"/>
      <c r="B37" s="10"/>
      <c r="C37" s="10"/>
      <c r="F37" s="10"/>
    </row>
    <row r="38" spans="1:6" x14ac:dyDescent="0.3">
      <c r="F38" s="34" t="s">
        <v>20</v>
      </c>
    </row>
    <row r="39" spans="1:6" x14ac:dyDescent="0.3">
      <c r="F39" s="34" t="s">
        <v>21</v>
      </c>
    </row>
    <row r="41" spans="1:6" x14ac:dyDescent="0.3">
      <c r="D41" s="10"/>
      <c r="E41" s="10"/>
    </row>
  </sheetData>
  <mergeCells count="6">
    <mergeCell ref="A29:D29"/>
    <mergeCell ref="A20:F20"/>
    <mergeCell ref="A23:D23"/>
    <mergeCell ref="A22:D22"/>
    <mergeCell ref="A24:D24"/>
    <mergeCell ref="A25:E25"/>
  </mergeCells>
  <phoneticPr fontId="4" type="noConversion"/>
  <pageMargins left="0.94488188976377963" right="0.74803149606299213" top="0.98425196850393704" bottom="0.98425196850393704" header="0" footer="0"/>
  <pageSetup scale="8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List1</vt:lpstr>
      <vt:lpstr>List2</vt:lpstr>
      <vt:lpstr>List3</vt:lpstr>
      <vt:lpstr>List1!Print_Area</vt:lpstr>
    </vt:vector>
  </TitlesOfParts>
  <Company>I-Media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I-Media</dc:creator>
  <cp:lastModifiedBy>Kristjan Lapuh</cp:lastModifiedBy>
  <cp:lastPrinted>2018-03-30T10:39:08Z</cp:lastPrinted>
  <dcterms:created xsi:type="dcterms:W3CDTF">2007-09-25T09:29:56Z</dcterms:created>
  <dcterms:modified xsi:type="dcterms:W3CDTF">2019-04-08T11:54:15Z</dcterms:modified>
</cp:coreProperties>
</file>