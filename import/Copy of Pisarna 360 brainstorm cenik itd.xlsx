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730"/>
  <workbookPr/>
  <mc:AlternateContent xmlns:mc="http://schemas.openxmlformats.org/markup-compatibility/2006">
    <mc:Choice Requires="x15">
      <x15ac:absPath xmlns:x15ac="http://schemas.microsoft.com/office/spreadsheetml/2010/11/ac" url="C:\Users\K1\Documents\Lapuh.Media\Lapuh Consulting\pisarna360\"/>
    </mc:Choice>
  </mc:AlternateContent>
  <bookViews>
    <workbookView xWindow="0" yWindow="0" windowWidth="18670" windowHeight="15100" activeTab="1" xr2:uid="{00000000-000D-0000-FFFF-FFFF00000000}"/>
  </bookViews>
  <sheets>
    <sheet name="List1" sheetId="1" r:id="rId1"/>
    <sheet name="Sheet1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2" l="1"/>
  <c r="E6" i="2"/>
  <c r="F6" i="2"/>
  <c r="G6" i="2"/>
  <c r="H6" i="2"/>
  <c r="I6" i="2"/>
  <c r="J6" i="2"/>
  <c r="K6" i="2"/>
  <c r="L6" i="2"/>
  <c r="M6" i="2"/>
  <c r="N6" i="2"/>
  <c r="C6" i="2"/>
  <c r="D5" i="2"/>
  <c r="E5" i="2"/>
  <c r="F5" i="2"/>
  <c r="G5" i="2"/>
  <c r="H5" i="2"/>
  <c r="I5" i="2"/>
  <c r="J5" i="2"/>
  <c r="K5" i="2"/>
  <c r="L5" i="2"/>
  <c r="M5" i="2"/>
  <c r="N5" i="2"/>
  <c r="C5" i="2"/>
  <c r="I4" i="2"/>
  <c r="J4" i="2"/>
  <c r="K4" i="2"/>
  <c r="L4" i="2"/>
  <c r="M4" i="2"/>
  <c r="N4" i="2"/>
  <c r="D4" i="2"/>
  <c r="E4" i="2"/>
  <c r="F4" i="2"/>
  <c r="G4" i="2"/>
  <c r="H4" i="2"/>
  <c r="C4" i="2"/>
  <c r="O3" i="2"/>
  <c r="O6" i="2" l="1"/>
  <c r="O4" i="2"/>
  <c r="O5" i="2"/>
</calcChain>
</file>

<file path=xl/sharedStrings.xml><?xml version="1.0" encoding="utf-8"?>
<sst xmlns="http://schemas.openxmlformats.org/spreadsheetml/2006/main" count="48" uniqueCount="48">
  <si>
    <t>Storitev</t>
  </si>
  <si>
    <t>Cena</t>
  </si>
  <si>
    <t>Virtualna pisarna(1 leto)</t>
  </si>
  <si>
    <t>Virtualna pisarna(6 mesecev)</t>
  </si>
  <si>
    <t>Prepošiljanje pošte(več kot 15/mesec)</t>
  </si>
  <si>
    <t>Paket virtual 360</t>
  </si>
  <si>
    <t>naslov</t>
  </si>
  <si>
    <t>prepošiljanje pošte do 15/mesec</t>
  </si>
  <si>
    <t>možen osebni prevzem pošte</t>
  </si>
  <si>
    <t>e-mail obveščanje o prispeli pošti</t>
  </si>
  <si>
    <t>Dodatne storitve</t>
  </si>
  <si>
    <t>računovodstvo</t>
  </si>
  <si>
    <t>logotip oz. CGP</t>
  </si>
  <si>
    <t>poslovno svetovanje za tujce</t>
  </si>
  <si>
    <t>relokacije</t>
  </si>
  <si>
    <t>HR svetovanje</t>
  </si>
  <si>
    <t>raziskava trga</t>
  </si>
  <si>
    <t>itd</t>
  </si>
  <si>
    <t>Predvideni stroški</t>
  </si>
  <si>
    <t>Poštne storitve mesečno</t>
  </si>
  <si>
    <t>50-100</t>
  </si>
  <si>
    <t>CGP(logo, sajt)</t>
  </si>
  <si>
    <t>Štampiljke prejeto in datum</t>
  </si>
  <si>
    <t>Pisarniški material(fascikli mape)-pogodba popust</t>
  </si>
  <si>
    <t>Konkurenca ponudba</t>
  </si>
  <si>
    <t>Data d.o.o.</t>
  </si>
  <si>
    <t>• Poslovni naslov</t>
  </si>
  <si>
    <t>Cena : 50 EUR + DDV /mesečno</t>
  </si>
  <si>
    <r>
      <t>• </t>
    </r>
    <r>
      <rPr>
        <b/>
        <sz val="11"/>
        <color rgb="FF555555"/>
        <rFont val="Arial"/>
        <family val="2"/>
        <charset val="238"/>
      </rPr>
      <t>Obveščanje o prispeli pošti</t>
    </r>
  </si>
  <si>
    <t>Cena: 15 EUR + DDV /mesečno</t>
  </si>
  <si>
    <r>
      <t>• </t>
    </r>
    <r>
      <rPr>
        <b/>
        <sz val="11"/>
        <color rgb="FF555555"/>
        <rFont val="Arial"/>
        <family val="2"/>
        <charset val="238"/>
      </rPr>
      <t>Prepošiljanje pošte na elektronski naslov (skeniranje)</t>
    </r>
  </si>
  <si>
    <t>Cena: 15 EUR + DDV (cena storitve 2) + 0,50 EUR na skenirano stran /mesečno</t>
  </si>
  <si>
    <r>
      <t>• </t>
    </r>
    <r>
      <rPr>
        <b/>
        <sz val="11"/>
        <color rgb="FF555555"/>
        <rFont val="Arial"/>
        <family val="2"/>
        <charset val="238"/>
      </rPr>
      <t>Prepošiljanje pošte na standardni naslov</t>
    </r>
  </si>
  <si>
    <t>Cena: 15 EUR + DDV (cena storitve 2) + 0,50 EUR na preposlano kuverto + stroški pošiljanja po ceniku Pošte Slovenije /mesečno</t>
  </si>
  <si>
    <r>
      <t>• </t>
    </r>
    <r>
      <rPr>
        <b/>
        <sz val="11"/>
        <color rgb="FF555555"/>
        <rFont val="Arial"/>
        <family val="2"/>
        <charset val="238"/>
      </rPr>
      <t>Sprejemanje in posredovanje klicev</t>
    </r>
  </si>
  <si>
    <t>po dogovoru</t>
  </si>
  <si>
    <t>Firmica d.o.o.</t>
  </si>
  <si>
    <r>
      <t>"drive in" storitev</t>
    </r>
    <r>
      <rPr>
        <sz val="12"/>
        <color rgb="FF666666"/>
        <rFont val="Georgia"/>
        <family val="1"/>
        <charset val="238"/>
      </rPr>
      <t> prevzema pošte, kar pomeni, da lahko pri nas vašo pošto prevzamete kar skozi okno vašega avtomobila</t>
    </r>
  </si>
  <si>
    <t>Virtualna pisarna Urška</t>
  </si>
  <si>
    <t>30/mesec, 25 ob predplačilu za eno leto</t>
  </si>
  <si>
    <t>Agencija spin</t>
  </si>
  <si>
    <t>39+ddv</t>
  </si>
  <si>
    <t>SUM</t>
  </si>
  <si>
    <t>Gross</t>
  </si>
  <si>
    <t>6mo pp</t>
  </si>
  <si>
    <t>Discount</t>
  </si>
  <si>
    <t>1y pp</t>
  </si>
  <si>
    <t>1y pp 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</si>
</sst>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;_-@_-"/>
  </numFmts>
  <fonts count="7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3D3D3D"/>
      <name val="Arial"/>
      <family val="2"/>
      <charset val="238"/>
    </font>
    <font>
      <b/>
      <sz val="11"/>
      <color rgb="FF555555"/>
      <name val="Arial"/>
      <family val="2"/>
      <charset val="238"/>
    </font>
    <font>
      <sz val="12"/>
      <color rgb="FF666666"/>
      <name val="Georgia"/>
      <family val="1"/>
      <charset val="238"/>
    </font>
    <font>
      <b/>
      <sz val="12"/>
      <color rgb="FF666666"/>
      <name val="Georgia"/>
      <family val="1"/>
      <charset val="238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/>
    <xf numFmtId="0" fontId="5" fillId="0" borderId="0" xfId="0" applyFont="1" applyAlignment="1">
      <alignment horizontal="left" vertical="center" wrapText="1" indent="1"/>
    </xf>
    <xf numFmtId="0" fontId="6" fillId="0" borderId="0" xfId="0" applyFont="1"/>
    <xf numFmtId="0" fontId="6" fillId="0" borderId="0" xfId="0" applyFont="1" applyAlignment="1">
      <alignment horizontal="right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workbookViewId="0">
      <selection activeCell="A10" sqref="A10"/>
    </sheetView>
  </sheetViews>
  <sheetFormatPr defaultRowHeight="14.5" x14ac:dyDescent="0.35"/>
  <cols>
    <col min="1" max="1" width="46.54296875" bestFit="1" customWidth="1"/>
    <col min="2" max="2" width="13.1796875" customWidth="1"/>
    <col min="3" max="3" width="39.26953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>
        <v>600</v>
      </c>
    </row>
    <row r="3" spans="1:2" x14ac:dyDescent="0.35">
      <c r="A3" t="s">
        <v>3</v>
      </c>
      <c r="B3" s="2">
        <v>360</v>
      </c>
    </row>
    <row r="4" spans="1:2" x14ac:dyDescent="0.35">
      <c r="A4" t="s">
        <v>4</v>
      </c>
      <c r="B4" s="2">
        <v>30</v>
      </c>
    </row>
    <row r="5" spans="1:2" x14ac:dyDescent="0.35">
      <c r="B5" s="2"/>
    </row>
    <row r="6" spans="1:2" x14ac:dyDescent="0.35">
      <c r="A6" s="1" t="s">
        <v>5</v>
      </c>
      <c r="B6" s="2"/>
    </row>
    <row r="7" spans="1:2" x14ac:dyDescent="0.35">
      <c r="A7" t="s">
        <v>6</v>
      </c>
      <c r="B7" s="2"/>
    </row>
    <row r="8" spans="1:2" x14ac:dyDescent="0.35">
      <c r="A8" t="s">
        <v>7</v>
      </c>
      <c r="B8" s="2"/>
    </row>
    <row r="9" spans="1:2" x14ac:dyDescent="0.35">
      <c r="A9" t="s">
        <v>8</v>
      </c>
      <c r="B9" s="2"/>
    </row>
    <row r="10" spans="1:2" x14ac:dyDescent="0.35">
      <c r="A10" t="s">
        <v>9</v>
      </c>
      <c r="B10" s="2"/>
    </row>
    <row r="11" spans="1:2" x14ac:dyDescent="0.35">
      <c r="B11" s="2"/>
    </row>
    <row r="12" spans="1:2" x14ac:dyDescent="0.35">
      <c r="A12" s="1" t="s">
        <v>10</v>
      </c>
      <c r="B12" s="2"/>
    </row>
    <row r="13" spans="1:2" x14ac:dyDescent="0.35">
      <c r="A13" t="s">
        <v>11</v>
      </c>
      <c r="B13" s="2"/>
    </row>
    <row r="14" spans="1:2" x14ac:dyDescent="0.35">
      <c r="A14" t="s">
        <v>12</v>
      </c>
      <c r="B14" s="2"/>
    </row>
    <row r="15" spans="1:2" x14ac:dyDescent="0.35">
      <c r="A15" t="s">
        <v>13</v>
      </c>
      <c r="B15" s="2"/>
    </row>
    <row r="16" spans="1:2" x14ac:dyDescent="0.35">
      <c r="A16" t="s">
        <v>14</v>
      </c>
      <c r="B16" s="2"/>
    </row>
    <row r="17" spans="1:4" x14ac:dyDescent="0.35">
      <c r="A17" t="s">
        <v>15</v>
      </c>
      <c r="B17" s="2"/>
    </row>
    <row r="18" spans="1:4" x14ac:dyDescent="0.35">
      <c r="A18" t="s">
        <v>16</v>
      </c>
      <c r="B18" s="2"/>
    </row>
    <row r="19" spans="1:4" x14ac:dyDescent="0.35">
      <c r="A19" t="s">
        <v>17</v>
      </c>
      <c r="B19" s="2"/>
    </row>
    <row r="20" spans="1:4" x14ac:dyDescent="0.35">
      <c r="B20" s="2"/>
    </row>
    <row r="21" spans="1:4" x14ac:dyDescent="0.35">
      <c r="A21" s="1" t="s">
        <v>18</v>
      </c>
      <c r="B21" s="2"/>
    </row>
    <row r="22" spans="1:4" x14ac:dyDescent="0.35">
      <c r="A22" t="s">
        <v>19</v>
      </c>
      <c r="B22" s="2" t="s">
        <v>20</v>
      </c>
    </row>
    <row r="23" spans="1:4" x14ac:dyDescent="0.35">
      <c r="A23" t="s">
        <v>21</v>
      </c>
      <c r="B23" s="2">
        <v>200</v>
      </c>
    </row>
    <row r="24" spans="1:4" x14ac:dyDescent="0.35">
      <c r="A24" t="s">
        <v>22</v>
      </c>
      <c r="B24">
        <v>10</v>
      </c>
    </row>
    <row r="25" spans="1:4" x14ac:dyDescent="0.35">
      <c r="A25" t="s">
        <v>23</v>
      </c>
      <c r="B25">
        <v>30</v>
      </c>
    </row>
    <row r="27" spans="1:4" x14ac:dyDescent="0.35">
      <c r="A27" s="1" t="s">
        <v>24</v>
      </c>
    </row>
    <row r="28" spans="1:4" x14ac:dyDescent="0.35">
      <c r="A28" s="5" t="s">
        <v>25</v>
      </c>
      <c r="B28" t="s">
        <v>36</v>
      </c>
      <c r="C28" t="s">
        <v>38</v>
      </c>
      <c r="D28" t="s">
        <v>40</v>
      </c>
    </row>
    <row r="29" spans="1:4" ht="15.5" x14ac:dyDescent="0.35">
      <c r="A29" s="3" t="s">
        <v>26</v>
      </c>
      <c r="C29" s="6"/>
      <c r="D29" t="s">
        <v>41</v>
      </c>
    </row>
    <row r="30" spans="1:4" x14ac:dyDescent="0.35">
      <c r="A30" s="4" t="s">
        <v>27</v>
      </c>
      <c r="C30" t="s">
        <v>39</v>
      </c>
    </row>
    <row r="31" spans="1:4" x14ac:dyDescent="0.35">
      <c r="A31" s="4" t="s">
        <v>28</v>
      </c>
      <c r="D31">
        <v>10</v>
      </c>
    </row>
    <row r="32" spans="1:4" x14ac:dyDescent="0.35">
      <c r="A32" s="4" t="s">
        <v>29</v>
      </c>
    </row>
    <row r="33" spans="1:3" ht="62" x14ac:dyDescent="0.35">
      <c r="A33" s="4" t="s">
        <v>30</v>
      </c>
      <c r="C33" s="6" t="s">
        <v>37</v>
      </c>
    </row>
    <row r="34" spans="1:3" ht="28" x14ac:dyDescent="0.35">
      <c r="A34" s="4" t="s">
        <v>31</v>
      </c>
    </row>
    <row r="35" spans="1:3" x14ac:dyDescent="0.35">
      <c r="A35" s="4" t="s">
        <v>32</v>
      </c>
    </row>
    <row r="36" spans="1:3" ht="42" x14ac:dyDescent="0.35">
      <c r="A36" s="4" t="s">
        <v>33</v>
      </c>
    </row>
    <row r="37" spans="1:3" x14ac:dyDescent="0.35">
      <c r="A37" s="4" t="s">
        <v>34</v>
      </c>
    </row>
    <row r="38" spans="1:3" x14ac:dyDescent="0.35">
      <c r="A38" s="4" t="s">
        <v>35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0A1D9-0E7A-47EA-871E-017A39B25C1A}">
  <sheetPr>
    <pageSetUpPr fitToPage="1"/>
  </sheetPr>
  <dimension ref="A2:O6"/>
  <sheetViews>
    <sheetView tabSelected="1" workbookViewId="0">
      <selection activeCell="C4" sqref="C4:H4"/>
    </sheetView>
  </sheetViews>
  <sheetFormatPr defaultRowHeight="14.5" x14ac:dyDescent="0.35"/>
  <cols>
    <col min="1" max="1" width="11.453125" bestFit="1" customWidth="1"/>
  </cols>
  <sheetData>
    <row r="2" spans="1:15" x14ac:dyDescent="0.35">
      <c r="B2" s="7" t="s">
        <v>45</v>
      </c>
      <c r="C2" s="7">
        <v>1</v>
      </c>
      <c r="D2" s="7">
        <v>2</v>
      </c>
      <c r="E2" s="7">
        <v>3</v>
      </c>
      <c r="F2" s="7">
        <v>4</v>
      </c>
      <c r="G2" s="7">
        <v>5</v>
      </c>
      <c r="H2" s="7">
        <v>6</v>
      </c>
      <c r="I2" s="7">
        <v>7</v>
      </c>
      <c r="J2" s="7">
        <v>8</v>
      </c>
      <c r="K2" s="7">
        <v>9</v>
      </c>
      <c r="L2" s="7">
        <v>10</v>
      </c>
      <c r="M2" s="7">
        <v>11</v>
      </c>
      <c r="N2" s="7">
        <v>12</v>
      </c>
      <c r="O2" s="8" t="s">
        <v>42</v>
      </c>
    </row>
    <row r="3" spans="1:15" x14ac:dyDescent="0.35">
      <c r="A3" t="s">
        <v>43</v>
      </c>
      <c r="B3" s="9">
        <v>0</v>
      </c>
      <c r="C3">
        <v>55</v>
      </c>
      <c r="D3">
        <v>55</v>
      </c>
      <c r="E3">
        <v>55</v>
      </c>
      <c r="F3">
        <v>55</v>
      </c>
      <c r="G3">
        <v>55</v>
      </c>
      <c r="H3">
        <v>55</v>
      </c>
      <c r="I3">
        <v>55</v>
      </c>
      <c r="J3">
        <v>55</v>
      </c>
      <c r="K3">
        <v>55</v>
      </c>
      <c r="L3">
        <v>55</v>
      </c>
      <c r="M3">
        <v>55</v>
      </c>
      <c r="N3">
        <v>55</v>
      </c>
      <c r="O3">
        <f>SUM(C3:N3)</f>
        <v>660</v>
      </c>
    </row>
    <row r="4" spans="1:15" x14ac:dyDescent="0.35">
      <c r="A4" t="s">
        <v>44</v>
      </c>
      <c r="B4" s="9">
        <v>0.3</v>
      </c>
      <c r="C4">
        <f>+C3*(1-$B$4)</f>
        <v>38.5</v>
      </c>
      <c r="D4">
        <f t="shared" ref="D4:H4" si="0">+D3*(1-$B$4)</f>
        <v>38.5</v>
      </c>
      <c r="E4">
        <f t="shared" si="0"/>
        <v>38.5</v>
      </c>
      <c r="F4">
        <f t="shared" si="0"/>
        <v>38.5</v>
      </c>
      <c r="G4">
        <f t="shared" si="0"/>
        <v>38.5</v>
      </c>
      <c r="H4">
        <f t="shared" si="0"/>
        <v>38.5</v>
      </c>
      <c r="I4">
        <f t="shared" ref="I4" si="1">+I3*(1-$B$4)</f>
        <v>38.5</v>
      </c>
      <c r="J4">
        <f t="shared" ref="J4" si="2">+J3*(1-$B$4)</f>
        <v>38.5</v>
      </c>
      <c r="K4">
        <f t="shared" ref="K4" si="3">+K3*(1-$B$4)</f>
        <v>38.5</v>
      </c>
      <c r="L4">
        <f t="shared" ref="L4" si="4">+L3*(1-$B$4)</f>
        <v>38.5</v>
      </c>
      <c r="M4">
        <f t="shared" ref="M4" si="5">+M3*(1-$B$4)</f>
        <v>38.5</v>
      </c>
      <c r="N4">
        <f t="shared" ref="N4" si="6">+N3*(1-$B$4)</f>
        <v>38.5</v>
      </c>
      <c r="O4">
        <f>SUM(C4:N4)</f>
        <v>462</v>
      </c>
    </row>
    <row r="5" spans="1:15" x14ac:dyDescent="0.35">
      <c r="A5" t="s">
        <v>46</v>
      </c>
      <c r="B5" s="9">
        <v>0.4</v>
      </c>
      <c r="C5">
        <f>+C3*(1-$B$5)</f>
        <v>33</v>
      </c>
      <c r="D5">
        <f t="shared" ref="D5:N5" si="7">+D3*(1-$B$5)</f>
        <v>33</v>
      </c>
      <c r="E5">
        <f t="shared" si="7"/>
        <v>33</v>
      </c>
      <c r="F5">
        <f t="shared" si="7"/>
        <v>33</v>
      </c>
      <c r="G5">
        <f t="shared" si="7"/>
        <v>33</v>
      </c>
      <c r="H5">
        <f t="shared" si="7"/>
        <v>33</v>
      </c>
      <c r="I5">
        <f t="shared" si="7"/>
        <v>33</v>
      </c>
      <c r="J5">
        <f t="shared" si="7"/>
        <v>33</v>
      </c>
      <c r="K5">
        <f t="shared" si="7"/>
        <v>33</v>
      </c>
      <c r="L5">
        <f t="shared" si="7"/>
        <v>33</v>
      </c>
      <c r="M5">
        <f t="shared" si="7"/>
        <v>33</v>
      </c>
      <c r="N5">
        <f t="shared" si="7"/>
        <v>33</v>
      </c>
      <c r="O5">
        <f>SUM(C5:N5)</f>
        <v>396</v>
      </c>
    </row>
    <row r="6" spans="1:15" x14ac:dyDescent="0.35">
      <c r="A6" t="s">
        <v>47</v>
      </c>
      <c r="B6" s="9">
        <v>0.5</v>
      </c>
      <c r="C6">
        <f>+C3*(1-$B$6)</f>
        <v>27.5</v>
      </c>
      <c r="D6">
        <f t="shared" ref="D6:N6" si="8">+D3*(1-$B$6)</f>
        <v>27.5</v>
      </c>
      <c r="E6">
        <f t="shared" si="8"/>
        <v>27.5</v>
      </c>
      <c r="F6">
        <f t="shared" si="8"/>
        <v>27.5</v>
      </c>
      <c r="G6">
        <f t="shared" si="8"/>
        <v>27.5</v>
      </c>
      <c r="H6">
        <f t="shared" si="8"/>
        <v>27.5</v>
      </c>
      <c r="I6">
        <f t="shared" si="8"/>
        <v>27.5</v>
      </c>
      <c r="J6">
        <f t="shared" si="8"/>
        <v>27.5</v>
      </c>
      <c r="K6">
        <f t="shared" si="8"/>
        <v>27.5</v>
      </c>
      <c r="L6">
        <f t="shared" si="8"/>
        <v>27.5</v>
      </c>
      <c r="M6">
        <f t="shared" si="8"/>
        <v>27.5</v>
      </c>
      <c r="N6">
        <f t="shared" si="8"/>
        <v>27.5</v>
      </c>
      <c r="O6">
        <f>SUM(C6:N6)</f>
        <v>330</v>
      </c>
    </row>
  </sheetData>
  <pageMargins left="0.7" right="0.7" top="0.75" bottom="0.75" header="0.3" footer="0.3"/>
  <pageSetup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Kristjan Lapuh</cp:lastModifiedBy>
  <cp:lastPrinted>2018-01-05T07:38:39Z</cp:lastPrinted>
  <dcterms:created xsi:type="dcterms:W3CDTF">2018-01-03T13:02:23Z</dcterms:created>
  <dcterms:modified xsi:type="dcterms:W3CDTF">2018-01-10T19:02:50Z</dcterms:modified>
</cp:coreProperties>
</file>